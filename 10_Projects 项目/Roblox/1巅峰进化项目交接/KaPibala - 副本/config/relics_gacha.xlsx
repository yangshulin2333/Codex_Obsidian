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<sst xmlns="http://schemas.openxmlformats.org/spreadsheetml/2006/main" count="135" uniqueCount="106">
  <si>
    <t>id</t>
  </si>
  <si>
    <t>名字</t>
  </si>
  <si>
    <t>品质</t>
  </si>
  <si>
    <t>图标</t>
  </si>
  <si>
    <t>遗物id</t>
  </si>
  <si>
    <t>权重</t>
  </si>
  <si>
    <t>奖励角色</t>
  </si>
  <si>
    <t>name</t>
  </si>
  <si>
    <t>quality</t>
  </si>
  <si>
    <t>icon</t>
  </si>
  <si>
    <t>relics_id</t>
  </si>
  <si>
    <t>weight</t>
  </si>
  <si>
    <t>character</t>
  </si>
  <si>
    <t>number</t>
  </si>
  <si>
    <t>string</t>
  </si>
  <si>
    <t>Ordinary Box</t>
  </si>
  <si>
    <t>rbxassetid://72987325917001</t>
  </si>
  <si>
    <t>1,2,3,4,5</t>
  </si>
  <si>
    <t>500,350,250,100,5</t>
  </si>
  <si>
    <t>Exquisite Box</t>
  </si>
  <si>
    <t>rbxassetid://108370863189384</t>
  </si>
  <si>
    <t>6,7,8,9,10</t>
  </si>
  <si>
    <t>Precious Box</t>
  </si>
  <si>
    <t>rbxassetid://129297688347307</t>
  </si>
  <si>
    <t>11,12,13,14,15</t>
  </si>
  <si>
    <t>Gorgeous Box</t>
  </si>
  <si>
    <t>rbxassetid://133028344108834</t>
  </si>
  <si>
    <t>16,17,18,19,20</t>
  </si>
  <si>
    <t>Challenge Box I</t>
  </si>
  <si>
    <t>rbxassetid://113045699375975</t>
  </si>
  <si>
    <t>27,28,29,30,31</t>
  </si>
  <si>
    <t>Challenge Box II</t>
  </si>
  <si>
    <t>rbxassetid://78064014081059</t>
  </si>
  <si>
    <t>32,33,34,35,36</t>
  </si>
  <si>
    <t>Monster I</t>
  </si>
  <si>
    <t>rbxassetid://72181840272553</t>
  </si>
  <si>
    <t>48,49,50,51,51</t>
  </si>
  <si>
    <t>Monster II</t>
  </si>
  <si>
    <t>rbxassetid://132755171059136</t>
  </si>
  <si>
    <t>52,53,54,55,55</t>
  </si>
  <si>
    <t>Monster III</t>
  </si>
  <si>
    <t>rbxassetid://132644249031341</t>
  </si>
  <si>
    <t>56,57,58,59,59</t>
  </si>
  <si>
    <t>Monster IV</t>
  </si>
  <si>
    <t>rbxassetid://114593378971196</t>
  </si>
  <si>
    <t>60,61,62,63,63</t>
  </si>
  <si>
    <t>Monster V</t>
  </si>
  <si>
    <t>rbxassetid://133224299184703</t>
  </si>
  <si>
    <t>64,65,66,67,67</t>
  </si>
  <si>
    <t>Monster VI</t>
  </si>
  <si>
    <t>rbxassetid://131369362945190</t>
  </si>
  <si>
    <t>68,69,70,71,71</t>
  </si>
  <si>
    <t>Pumpkin Chest</t>
  </si>
  <si>
    <t>rbxassetid://109552623746167</t>
  </si>
  <si>
    <t>43,44,45,46,46</t>
  </si>
  <si>
    <t>500,350,115,30,5</t>
  </si>
  <si>
    <t>Halloween Chest</t>
  </si>
  <si>
    <t>rbxassetid://132652023261865</t>
  </si>
  <si>
    <t>72,73,74,75,75</t>
  </si>
  <si>
    <t>4650,3500,1500,300,50</t>
  </si>
  <si>
    <t>Challenge Box III</t>
  </si>
  <si>
    <t>rbxassetid://74575309844666</t>
  </si>
  <si>
    <t>80,81,82,83,84</t>
  </si>
  <si>
    <t>BattlePass Box I</t>
  </si>
  <si>
    <t>rbxassetid://119213304780916</t>
  </si>
  <si>
    <t>86,87,88,89,90</t>
  </si>
  <si>
    <t>BattlePass Box II</t>
  </si>
  <si>
    <t>rbxassetid://106988247627016</t>
  </si>
  <si>
    <t>91,92,93,94,95</t>
  </si>
  <si>
    <t>Christmas Chest</t>
  </si>
  <si>
    <t>rbxassetid://104114751448752</t>
  </si>
  <si>
    <t>99,100,101,102,102</t>
  </si>
  <si>
    <t>Guild Boss Chest I</t>
  </si>
  <si>
    <t>rbxassetid://106234670761768</t>
  </si>
  <si>
    <t>108,109,110,111,112</t>
  </si>
  <si>
    <t>Guild Boss Chest II</t>
  </si>
  <si>
    <t>rbxassetid://130894823201172</t>
  </si>
  <si>
    <t>113,114,115,116,117</t>
  </si>
  <si>
    <t>Guild Boss Chest III</t>
  </si>
  <si>
    <t>rbxassetid://105794436522355</t>
  </si>
  <si>
    <t>118,119,120,121,122</t>
  </si>
  <si>
    <t>Guild Boss Chest IV</t>
  </si>
  <si>
    <t>rbxassetid://135704525829108</t>
  </si>
  <si>
    <t>123,124,125,126,127</t>
  </si>
  <si>
    <t>Guild Boss Chest V</t>
  </si>
  <si>
    <t>rbxassetid://126293728215195</t>
  </si>
  <si>
    <t>128,129,130,131,132</t>
  </si>
  <si>
    <t>Gilded Box</t>
  </si>
  <si>
    <t>rbxassetid://130678632115476</t>
  </si>
  <si>
    <t>134,135,136,137,137</t>
  </si>
  <si>
    <t>Suit Box</t>
  </si>
  <si>
    <t>rbxassetid://72611009078907</t>
  </si>
  <si>
    <t>145,146,147,148,149,150</t>
  </si>
  <si>
    <t>4650,3500,1500,1000,500,300</t>
  </si>
  <si>
    <t>Owl's Arcane Chest</t>
  </si>
  <si>
    <t>rbxassetid://136039719120986</t>
  </si>
  <si>
    <t>164,165,166,167,168</t>
  </si>
  <si>
    <t>Green Gem Coffer</t>
  </si>
  <si>
    <t>rbxassetid://83134818125936</t>
  </si>
  <si>
    <t>169,170,171,172,173</t>
  </si>
  <si>
    <t>Challenge Box IV</t>
  </si>
  <si>
    <t>rbxassetid://134761454494953</t>
  </si>
  <si>
    <t>182,183,184,185,186</t>
  </si>
  <si>
    <t>Silver Chest</t>
  </si>
  <si>
    <t>rbxassetid://109523860361555</t>
  </si>
  <si>
    <t>188,189,190,191,191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</si>
</sst>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workbookViewId="0">
      <selection activeCell="C34" sqref="C34"/>
    </sheetView>
  </sheetViews>
  <sheetFormatPr defaultColWidth="9" defaultRowHeight="13.5"/>
  <cols>
    <col min="1" max="1" width="9" style="3"/>
    <col min="2" max="3" width="22.625" style="3" customWidth="1"/>
    <col min="4" max="4" width="31.5" style="3" customWidth="1"/>
    <col min="5" max="5" width="26" style="4" customWidth="1"/>
    <col min="6" max="6" width="38.75" style="3" customWidth="1"/>
    <col min="7" max="12" width="9" style="3"/>
    <col min="13" max="13" width="12.625" style="3"/>
    <col min="14" max="14" width="9" style="5"/>
    <col min="15" max="16384" width="9" style="3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pans="1:7">
      <c r="A2" s="3" t="s">
        <v>0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spans="1:7">
      <c r="A3" s="3" t="s">
        <v>13</v>
      </c>
      <c r="B3" s="3" t="s">
        <v>14</v>
      </c>
      <c r="C3" s="3" t="s">
        <v>13</v>
      </c>
      <c r="D3" s="3" t="s">
        <v>14</v>
      </c>
      <c r="G3" s="3" t="s">
        <v>13</v>
      </c>
    </row>
    <row r="4" spans="1:6">
      <c r="A4" s="6">
        <v>1</v>
      </c>
      <c r="B4" s="6" t="s">
        <v>15</v>
      </c>
      <c r="C4" s="6">
        <v>2</v>
      </c>
      <c r="D4" s="6" t="s">
        <v>16</v>
      </c>
      <c r="E4" s="7" t="s">
        <v>17</v>
      </c>
      <c r="F4" s="6" t="s">
        <v>18</v>
      </c>
    </row>
    <row r="5" spans="1:6">
      <c r="A5" s="6">
        <v>2</v>
      </c>
      <c r="B5" s="6" t="s">
        <v>19</v>
      </c>
      <c r="C5" s="6">
        <v>3</v>
      </c>
      <c r="D5" s="6" t="s">
        <v>20</v>
      </c>
      <c r="E5" s="7" t="s">
        <v>21</v>
      </c>
      <c r="F5" s="6" t="s">
        <v>18</v>
      </c>
    </row>
    <row r="6" spans="1:6">
      <c r="A6" s="6">
        <v>3</v>
      </c>
      <c r="B6" s="6" t="s">
        <v>22</v>
      </c>
      <c r="C6" s="6">
        <v>4</v>
      </c>
      <c r="D6" s="6" t="s">
        <v>23</v>
      </c>
      <c r="E6" s="7" t="s">
        <v>24</v>
      </c>
      <c r="F6" s="6" t="s">
        <v>18</v>
      </c>
    </row>
    <row r="7" spans="1:14">
      <c r="A7" s="6">
        <v>4</v>
      </c>
      <c r="B7" s="6" t="s">
        <v>25</v>
      </c>
      <c r="C7" s="6">
        <v>5</v>
      </c>
      <c r="D7" s="6" t="s">
        <v>26</v>
      </c>
      <c r="E7" s="7" t="s">
        <v>27</v>
      </c>
      <c r="F7" s="6" t="s">
        <v>18</v>
      </c>
      <c r="L7" s="3">
        <v>5000</v>
      </c>
      <c r="N7" s="5">
        <f>L7/L14</f>
        <v>0.502260170768458</v>
      </c>
    </row>
    <row r="8" spans="1:14">
      <c r="A8" s="3">
        <v>5</v>
      </c>
      <c r="B8" s="3" t="s">
        <v>28</v>
      </c>
      <c r="C8" s="3">
        <v>5</v>
      </c>
      <c r="D8" s="3" t="s">
        <v>29</v>
      </c>
      <c r="E8" s="4" t="s">
        <v>30</v>
      </c>
      <c r="F8" s="6" t="s">
        <v>18</v>
      </c>
      <c r="L8" s="3">
        <v>3650</v>
      </c>
      <c r="N8" s="5">
        <f>L8/L14</f>
        <v>0.366649924660974</v>
      </c>
    </row>
    <row r="9" spans="1:14">
      <c r="A9" s="3">
        <v>6</v>
      </c>
      <c r="B9" s="3" t="s">
        <v>31</v>
      </c>
      <c r="C9" s="3">
        <v>5</v>
      </c>
      <c r="D9" s="3" t="s">
        <v>32</v>
      </c>
      <c r="E9" s="4" t="s">
        <v>33</v>
      </c>
      <c r="F9" s="6" t="s">
        <v>18</v>
      </c>
      <c r="L9" s="3">
        <v>1150</v>
      </c>
      <c r="N9" s="5">
        <f>L9/L14</f>
        <v>0.115519839276745</v>
      </c>
    </row>
    <row r="10" s="1" customFormat="1" spans="1:14">
      <c r="A10" s="1">
        <v>7</v>
      </c>
      <c r="B10" s="1" t="s">
        <v>34</v>
      </c>
      <c r="C10" s="1">
        <v>1</v>
      </c>
      <c r="D10" s="1" t="s">
        <v>35</v>
      </c>
      <c r="E10" s="8" t="s">
        <v>36</v>
      </c>
      <c r="F10" s="9" t="s">
        <v>18</v>
      </c>
      <c r="G10" s="1">
        <v>61</v>
      </c>
      <c r="H10" s="1"/>
      <c r="I10" s="1"/>
      <c r="J10" s="1"/>
      <c r="K10" s="1"/>
      <c r="L10" s="1">
        <v>150</v>
      </c>
      <c r="M10" s="1"/>
      <c r="N10" s="11">
        <f>L10/L14</f>
        <v>0.0150678051230537</v>
      </c>
    </row>
    <row r="11" s="1" customFormat="1" spans="1:14">
      <c r="A11" s="1">
        <v>8</v>
      </c>
      <c r="B11" s="1" t="s">
        <v>37</v>
      </c>
      <c r="C11" s="9">
        <v>1</v>
      </c>
      <c r="D11" s="1" t="s">
        <v>38</v>
      </c>
      <c r="E11" s="8" t="s">
        <v>39</v>
      </c>
      <c r="F11" s="9" t="s">
        <v>18</v>
      </c>
      <c r="G11" s="1">
        <v>62</v>
      </c>
      <c r="H11" s="1"/>
      <c r="I11" s="1"/>
      <c r="J11" s="1"/>
      <c r="K11" s="1"/>
      <c r="L11" s="1">
        <v>5</v>
      </c>
      <c r="M11" s="1"/>
      <c r="N11" s="11">
        <f>L11/L14</f>
        <v>0.000502260170768458</v>
      </c>
    </row>
    <row r="12" s="1" customFormat="1" spans="1:14">
      <c r="A12" s="1">
        <v>9</v>
      </c>
      <c r="B12" s="1" t="s">
        <v>40</v>
      </c>
      <c r="C12" s="9">
        <v>2</v>
      </c>
      <c r="D12" s="1" t="s">
        <v>41</v>
      </c>
      <c r="E12" s="8" t="s">
        <v>42</v>
      </c>
      <c r="F12" s="9" t="s">
        <v>18</v>
      </c>
      <c r="G12" s="1">
        <v>63</v>
      </c>
      <c r="H12" s="1"/>
      <c r="I12" s="1"/>
      <c r="J12" s="1"/>
      <c r="K12" s="1"/>
      <c r="L12" s="1"/>
      <c r="M12" s="1"/>
      <c r="N12" s="11"/>
    </row>
    <row r="13" s="1" customFormat="1" spans="1:14">
      <c r="A13" s="1">
        <v>10</v>
      </c>
      <c r="B13" s="1" t="s">
        <v>43</v>
      </c>
      <c r="C13" s="9">
        <v>2</v>
      </c>
      <c r="D13" s="1" t="s">
        <v>44</v>
      </c>
      <c r="E13" s="8" t="s">
        <v>45</v>
      </c>
      <c r="F13" s="9" t="s">
        <v>18</v>
      </c>
      <c r="G13" s="1">
        <v>64</v>
      </c>
      <c r="H13" s="1"/>
      <c r="I13" s="1"/>
      <c r="J13" s="1"/>
      <c r="K13" s="1"/>
      <c r="L13" s="1"/>
      <c r="M13" s="1"/>
      <c r="N13" s="11"/>
    </row>
    <row r="14" s="1" customFormat="1" spans="1:14">
      <c r="A14" s="1">
        <v>11</v>
      </c>
      <c r="B14" s="1" t="s">
        <v>46</v>
      </c>
      <c r="C14" s="9">
        <v>3</v>
      </c>
      <c r="D14" s="1" t="s">
        <v>47</v>
      </c>
      <c r="E14" s="8" t="s">
        <v>48</v>
      </c>
      <c r="F14" s="9" t="s">
        <v>18</v>
      </c>
      <c r="G14" s="1">
        <v>65</v>
      </c>
      <c r="H14" s="1"/>
      <c r="I14" s="1"/>
      <c r="J14" s="1"/>
      <c r="K14" s="1"/>
      <c r="L14" s="1">
        <f>L7+L8+L9+L10+L11</f>
        <v>9955</v>
      </c>
      <c r="N14" s="11"/>
    </row>
    <row r="15" s="1" customFormat="1" spans="1:14">
      <c r="A15" s="1">
        <v>12</v>
      </c>
      <c r="B15" s="1" t="s">
        <v>49</v>
      </c>
      <c r="C15" s="1">
        <v>3</v>
      </c>
      <c r="D15" s="1" t="s">
        <v>50</v>
      </c>
      <c r="E15" s="8" t="s">
        <v>51</v>
      </c>
      <c r="F15" s="9" t="s">
        <v>18</v>
      </c>
      <c r="G15" s="1">
        <v>66</v>
      </c>
      <c r="H15" s="1"/>
      <c r="I15" s="1"/>
      <c r="J15" s="1"/>
      <c r="K15" s="1"/>
      <c r="L15" s="1"/>
      <c r="M15" s="1"/>
      <c r="N15" s="11"/>
    </row>
    <row r="16" spans="1:7">
      <c r="A16" s="3">
        <v>13</v>
      </c>
      <c r="B16" s="3" t="s">
        <v>52</v>
      </c>
      <c r="C16" s="3">
        <v>4</v>
      </c>
      <c r="D16" s="3" t="s">
        <v>53</v>
      </c>
      <c r="E16" s="4" t="s">
        <v>54</v>
      </c>
      <c r="F16" s="3" t="s">
        <v>55</v>
      </c>
      <c r="G16" s="3">
        <v>46</v>
      </c>
    </row>
    <row r="17" spans="1:7">
      <c r="A17" s="3">
        <v>14</v>
      </c>
      <c r="B17" s="3" t="s">
        <v>56</v>
      </c>
      <c r="C17" s="3">
        <v>5</v>
      </c>
      <c r="D17" s="3" t="s">
        <v>57</v>
      </c>
      <c r="E17" s="4" t="s">
        <v>58</v>
      </c>
      <c r="F17" s="6" t="s">
        <v>59</v>
      </c>
      <c r="G17" s="3">
        <v>68</v>
      </c>
    </row>
    <row r="18" spans="1:6">
      <c r="A18" s="3">
        <v>15</v>
      </c>
      <c r="B18" s="3" t="s">
        <v>60</v>
      </c>
      <c r="C18" s="3">
        <v>5</v>
      </c>
      <c r="D18" s="3" t="s">
        <v>61</v>
      </c>
      <c r="E18" s="4" t="s">
        <v>62</v>
      </c>
      <c r="F18" s="3" t="s">
        <v>18</v>
      </c>
    </row>
    <row r="19" spans="1:6">
      <c r="A19" s="3">
        <v>16</v>
      </c>
      <c r="B19" s="3" t="s">
        <v>63</v>
      </c>
      <c r="C19" s="3">
        <v>4</v>
      </c>
      <c r="D19" s="3" t="s">
        <v>64</v>
      </c>
      <c r="E19" s="4" t="s">
        <v>65</v>
      </c>
      <c r="F19" s="3" t="s">
        <v>18</v>
      </c>
    </row>
    <row r="20" spans="1:6">
      <c r="A20" s="3">
        <v>17</v>
      </c>
      <c r="B20" s="3" t="s">
        <v>66</v>
      </c>
      <c r="C20" s="3">
        <v>5</v>
      </c>
      <c r="D20" s="3" t="s">
        <v>67</v>
      </c>
      <c r="E20" s="4" t="s">
        <v>68</v>
      </c>
      <c r="F20" s="3" t="s">
        <v>18</v>
      </c>
    </row>
    <row r="21" spans="1:7">
      <c r="A21" s="3">
        <v>18</v>
      </c>
      <c r="B21" s="3" t="s">
        <v>69</v>
      </c>
      <c r="C21" s="3">
        <v>5</v>
      </c>
      <c r="D21" s="3" t="s">
        <v>70</v>
      </c>
      <c r="E21" s="4" t="s">
        <v>71</v>
      </c>
      <c r="F21" s="6" t="s">
        <v>59</v>
      </c>
      <c r="G21" s="3">
        <v>80</v>
      </c>
    </row>
    <row r="22" s="2" customFormat="1" spans="1:14">
      <c r="A22" s="2">
        <v>19</v>
      </c>
      <c r="B22" s="2" t="s">
        <v>72</v>
      </c>
      <c r="C22" s="2">
        <v>1</v>
      </c>
      <c r="D22" s="2" t="s">
        <v>73</v>
      </c>
      <c r="E22" s="10" t="s">
        <v>74</v>
      </c>
      <c r="F22" s="2" t="s">
        <v>18</v>
      </c>
      <c r="G22" s="2"/>
      <c r="H22" s="2"/>
      <c r="I22" s="2"/>
      <c r="J22" s="2"/>
      <c r="K22" s="2"/>
      <c r="L22" s="2"/>
      <c r="M22" s="2"/>
      <c r="N22" s="12"/>
    </row>
    <row r="23" s="2" customFormat="1" spans="1:14">
      <c r="A23" s="2">
        <v>20</v>
      </c>
      <c r="B23" s="2" t="s">
        <v>75</v>
      </c>
      <c r="C23" s="2">
        <v>2</v>
      </c>
      <c r="D23" s="2" t="s">
        <v>76</v>
      </c>
      <c r="E23" s="10" t="s">
        <v>77</v>
      </c>
      <c r="F23" s="2" t="s">
        <v>18</v>
      </c>
      <c r="G23" s="2"/>
      <c r="H23" s="2"/>
      <c r="I23" s="2"/>
      <c r="J23" s="2"/>
      <c r="K23" s="2"/>
      <c r="L23" s="2"/>
      <c r="M23" s="2"/>
      <c r="N23" s="12"/>
    </row>
    <row r="24" s="2" customFormat="1" spans="1:14">
      <c r="A24" s="2">
        <v>21</v>
      </c>
      <c r="B24" s="2" t="s">
        <v>78</v>
      </c>
      <c r="C24" s="2">
        <v>3</v>
      </c>
      <c r="D24" s="2" t="s">
        <v>79</v>
      </c>
      <c r="E24" s="10" t="s">
        <v>80</v>
      </c>
      <c r="F24" s="2" t="s">
        <v>18</v>
      </c>
      <c r="G24" s="2"/>
      <c r="H24" s="2"/>
      <c r="I24" s="2"/>
      <c r="J24" s="2"/>
      <c r="K24" s="2"/>
      <c r="L24" s="2"/>
      <c r="M24" s="2"/>
      <c r="N24" s="12"/>
    </row>
    <row r="25" s="2" customFormat="1" spans="1:14">
      <c r="A25" s="2">
        <v>22</v>
      </c>
      <c r="B25" s="2" t="s">
        <v>81</v>
      </c>
      <c r="C25" s="2">
        <v>4</v>
      </c>
      <c r="D25" s="2" t="s">
        <v>82</v>
      </c>
      <c r="E25" s="10" t="s">
        <v>83</v>
      </c>
      <c r="F25" s="2" t="s">
        <v>18</v>
      </c>
      <c r="G25" s="2"/>
      <c r="H25" s="2"/>
      <c r="I25" s="2"/>
      <c r="J25" s="2"/>
      <c r="K25" s="2"/>
      <c r="L25" s="2"/>
      <c r="M25" s="2"/>
      <c r="N25" s="12"/>
    </row>
    <row r="26" s="2" customFormat="1" spans="1:14">
      <c r="A26" s="2">
        <v>23</v>
      </c>
      <c r="B26" s="2" t="s">
        <v>84</v>
      </c>
      <c r="C26" s="2">
        <v>5</v>
      </c>
      <c r="D26" s="2" t="s">
        <v>85</v>
      </c>
      <c r="E26" s="10" t="s">
        <v>86</v>
      </c>
      <c r="F26" s="2" t="s">
        <v>18</v>
      </c>
      <c r="G26" s="2"/>
      <c r="H26" s="2"/>
      <c r="I26" s="2"/>
      <c r="J26" s="2"/>
      <c r="K26" s="2"/>
      <c r="L26" s="2"/>
      <c r="M26" s="2"/>
      <c r="N26" s="12"/>
    </row>
    <row r="27" spans="1:7">
      <c r="A27" s="3">
        <v>24</v>
      </c>
      <c r="B27" s="3" t="s">
        <v>87</v>
      </c>
      <c r="C27" s="3">
        <v>5</v>
      </c>
      <c r="D27" s="3" t="s">
        <v>88</v>
      </c>
      <c r="E27" s="4" t="s">
        <v>89</v>
      </c>
      <c r="F27" s="3" t="s">
        <v>59</v>
      </c>
      <c r="G27" s="3">
        <v>89</v>
      </c>
    </row>
    <row r="28" spans="1:13">
      <c r="A28" s="3">
        <v>25</v>
      </c>
      <c r="B28" s="3" t="s">
        <v>90</v>
      </c>
      <c r="C28" s="3">
        <v>5</v>
      </c>
      <c r="D28" s="3" t="s">
        <v>91</v>
      </c>
      <c r="E28" s="4" t="s">
        <v>92</v>
      </c>
      <c r="F28" s="13" t="s">
        <v>93</v>
      </c>
      <c r="K28" s="3">
        <v>4650</v>
      </c>
      <c r="M28" s="5">
        <f>K28/K35</f>
        <v>0.406113537117904</v>
      </c>
    </row>
    <row r="29" spans="1:13">
      <c r="A29" s="3">
        <v>26</v>
      </c>
      <c r="B29" t="s">
        <v>94</v>
      </c>
      <c r="C29" s="3">
        <v>5</v>
      </c>
      <c r="D29" s="3" t="s">
        <v>95</v>
      </c>
      <c r="E29" s="4" t="s">
        <v>96</v>
      </c>
      <c r="F29" s="3" t="s">
        <v>18</v>
      </c>
      <c r="K29" s="3">
        <v>3500</v>
      </c>
      <c r="M29" s="5">
        <f>K29/K35</f>
        <v>0.305676855895196</v>
      </c>
    </row>
    <row r="30" spans="1:13">
      <c r="A30" s="3">
        <v>27</v>
      </c>
      <c r="B30" s="3" t="s">
        <v>97</v>
      </c>
      <c r="C30" s="3">
        <v>5</v>
      </c>
      <c r="D30" s="3" t="s">
        <v>98</v>
      </c>
      <c r="E30" s="4" t="s">
        <v>99</v>
      </c>
      <c r="F30" s="3" t="s">
        <v>18</v>
      </c>
      <c r="K30" s="3">
        <v>1500</v>
      </c>
      <c r="M30" s="5">
        <f>K30/K35</f>
        <v>0.131004366812227</v>
      </c>
    </row>
    <row r="31" spans="1:13">
      <c r="A31" s="3">
        <v>28</v>
      </c>
      <c r="B31" s="3" t="s">
        <v>100</v>
      </c>
      <c r="C31" s="3">
        <v>5</v>
      </c>
      <c r="D31" s="3" t="s">
        <v>101</v>
      </c>
      <c r="E31" s="4" t="s">
        <v>102</v>
      </c>
      <c r="F31" s="3" t="s">
        <v>18</v>
      </c>
      <c r="K31" s="3">
        <v>1000</v>
      </c>
      <c r="M31" s="5">
        <f>K31/K35</f>
        <v>0.0873362445414847</v>
      </c>
    </row>
    <row r="32" spans="1:13">
      <c r="A32" s="3">
        <v>29</v>
      </c>
      <c r="B32" s="3" t="s">
        <v>103</v>
      </c>
      <c r="C32" s="3">
        <v>5</v>
      </c>
      <c r="D32" s="3" t="s">
        <v>104</v>
      </c>
      <c r="E32" s="4" t="s">
        <v>105</v>
      </c>
      <c r="F32" s="3" t="s">
        <v>18</v>
      </c>
      <c r="G32" s="3">
        <v>114</v>
      </c>
      <c r="K32" s="3">
        <v>500</v>
      </c>
      <c r="M32" s="5">
        <f>K32/K35</f>
        <v>0.0436681222707424</v>
      </c>
    </row>
    <row r="33" spans="11:13">
      <c r="K33" s="3">
        <v>300</v>
      </c>
      <c r="M33" s="5">
        <f>K33/K35</f>
        <v>0.0262008733624454</v>
      </c>
    </row>
    <row r="35" spans="11:11">
      <c r="K35" s="3">
        <f>SUM(K28:K33)</f>
        <v>11450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14176</cp:lastModifiedBy>
  <dcterms:created xsi:type="dcterms:W3CDTF">2023-05-12T11:15:00Z</dcterms:created>
  <dcterms:modified xsi:type="dcterms:W3CDTF">2026-07-06T06:13:52Z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2D906D1808034448A1F3D3BCF6FF684B_12</vt:lpwstr>
  </property>
  <property fmtid="{D5CDD505-2E9C-101B-9397-08002B2CF9AE}" pid="4" name="CalculationRule">
    <vt:i4>0</vt:i4>
  </property>
</Properties>
</file>