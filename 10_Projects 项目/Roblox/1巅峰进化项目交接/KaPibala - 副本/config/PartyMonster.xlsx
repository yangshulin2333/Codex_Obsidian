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<sst xmlns="http://schemas.openxmlformats.org/spreadsheetml/2006/main" count="103" uniqueCount="47">
  <si>
    <t>id</t>
  </si>
  <si>
    <t>名字</t>
  </si>
  <si>
    <t>是否是boss</t>
  </si>
  <si>
    <t>boss特效</t>
  </si>
  <si>
    <t>血量</t>
  </si>
  <si>
    <t>模型</t>
  </si>
  <si>
    <t>奖励奖杯</t>
  </si>
  <si>
    <t>奖励经验值</t>
  </si>
  <si>
    <t>攻击力</t>
  </si>
  <si>
    <t>钻石</t>
  </si>
  <si>
    <t>概率%</t>
  </si>
  <si>
    <t>name</t>
  </si>
  <si>
    <t>is_boss</t>
  </si>
  <si>
    <t>boss_eff</t>
  </si>
  <si>
    <t>hp</t>
  </si>
  <si>
    <t>model</t>
  </si>
  <si>
    <t>wins</t>
  </si>
  <si>
    <t>exp</t>
  </si>
  <si>
    <t>attack</t>
  </si>
  <si>
    <t>gems</t>
  </si>
  <si>
    <t>per</t>
  </si>
  <si>
    <t>number</t>
  </si>
  <si>
    <t>string</t>
  </si>
  <si>
    <t>Walter</t>
  </si>
  <si>
    <t>Reynard</t>
  </si>
  <si>
    <t>Godfrey</t>
  </si>
  <si>
    <t>Ghost Giant Hammer</t>
  </si>
  <si>
    <t>boss5_eff</t>
  </si>
  <si>
    <t>p1</t>
  </si>
  <si>
    <t>Bloodfang</t>
  </si>
  <si>
    <t>Fleshweaver</t>
  </si>
  <si>
    <t>Shadowreaver</t>
  </si>
  <si>
    <t>Ghost Fire Knight</t>
  </si>
  <si>
    <t>boss1_eff</t>
  </si>
  <si>
    <t>p2</t>
  </si>
  <si>
    <t>Hörður</t>
  </si>
  <si>
    <t>Eyjólfur</t>
  </si>
  <si>
    <t>Tryggvi</t>
  </si>
  <si>
    <t>Blade Runner</t>
  </si>
  <si>
    <t>c3</t>
  </si>
  <si>
    <t>Nikolaos</t>
  </si>
  <si>
    <t>Dimitrios</t>
  </si>
  <si>
    <t>122</t>
  </si>
  <si>
    <t>Domitriy</t>
  </si>
  <si>
    <t>126</t>
  </si>
  <si>
    <t>Bram Karim</t>
  </si>
  <si>
    <t>127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</si>
</sst>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rgb="FF000000"/>
      <name val="宋体"/>
      <charset val="134"/>
      <scheme val="minor"/>
    </font>
    <font>
      <b/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10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11" borderId="5">
      <alignment vertical="center"/>
    </xf>
    <xf numFmtId="0" fontId="14" fillId="12" borderId="6">
      <alignment vertical="center"/>
    </xf>
    <xf numFmtId="0" fontId="15" fillId="12" borderId="5">
      <alignment vertical="center"/>
    </xf>
    <xf numFmtId="0" fontId="16" fillId="13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3" fillId="34" borderId="0">
      <alignment vertical="center"/>
    </xf>
    <xf numFmtId="0" fontId="23" fillId="35" borderId="0">
      <alignment vertical="center"/>
    </xf>
    <xf numFmtId="0" fontId="22" fillId="36" borderId="0">
      <alignment vertical="center"/>
    </xf>
    <xf numFmtId="0" fontId="22" fillId="37" borderId="0">
      <alignment vertical="center"/>
    </xf>
    <xf numFmtId="0" fontId="23" fillId="38" borderId="0">
      <alignment vertical="center"/>
    </xf>
    <xf numFmtId="0" fontId="23" fillId="39" borderId="0">
      <alignment vertical="center"/>
    </xf>
    <xf numFmtId="0" fontId="22" fillId="40" borderId="0">
      <alignment vertical="center"/>
    </xf>
  </cellStyleXfs>
  <cellXfs count="49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0" fillId="9" borderId="0" xfId="0" applyFill="1" applyAlignment="1">
      <alignment vertical="center"/>
    </xf>
    <xf numFmtId="11" fontId="0" fillId="0" borderId="0" xfId="0" applyNumberFormat="1" applyAlignment="1">
      <alignment vertical="center"/>
    </xf>
    <xf numFmtId="49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1" fontId="0" fillId="2" borderId="0" xfId="0" applyNumberFormat="1" applyFill="1" applyAlignment="1">
      <alignment vertical="center"/>
    </xf>
    <xf numFmtId="49" fontId="1" fillId="2" borderId="0" xfId="0" applyNumberFormat="1" applyFont="1" applyFill="1" applyAlignment="1">
      <alignment horizontal="center" vertical="center"/>
    </xf>
    <xf numFmtId="11" fontId="3" fillId="2" borderId="1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11" fontId="3" fillId="3" borderId="1" xfId="0" applyNumberFormat="1" applyFont="1" applyFill="1" applyBorder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11" fontId="0" fillId="3" borderId="0" xfId="0" applyNumberFormat="1" applyFill="1" applyAlignment="1">
      <alignment vertical="center"/>
    </xf>
    <xf numFmtId="49" fontId="4" fillId="3" borderId="0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11" fontId="3" fillId="4" borderId="1" xfId="0" applyNumberFormat="1" applyFont="1" applyFill="1" applyBorder="1" applyAlignment="1">
      <alignment horizontal="center" vertical="center"/>
    </xf>
    <xf numFmtId="49" fontId="1" fillId="4" borderId="0" xfId="0" applyNumberFormat="1" applyFont="1" applyFill="1" applyAlignment="1">
      <alignment horizontal="center" vertical="center"/>
    </xf>
    <xf numFmtId="11" fontId="0" fillId="4" borderId="0" xfId="0" applyNumberFormat="1" applyFill="1" applyAlignment="1">
      <alignment vertical="center"/>
    </xf>
    <xf numFmtId="49" fontId="4" fillId="4" borderId="0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11" fontId="3" fillId="5" borderId="1" xfId="0" applyNumberFormat="1" applyFont="1" applyFill="1" applyBorder="1" applyAlignment="1">
      <alignment horizontal="center" vertical="center"/>
    </xf>
    <xf numFmtId="49" fontId="0" fillId="5" borderId="0" xfId="0" applyNumberFormat="1" applyFill="1" applyAlignment="1">
      <alignment vertical="center"/>
    </xf>
    <xf numFmtId="11" fontId="0" fillId="5" borderId="0" xfId="0" applyNumberFormat="1" applyFill="1" applyAlignment="1">
      <alignment vertical="center"/>
    </xf>
    <xf numFmtId="0" fontId="0" fillId="5" borderId="0" xfId="0" applyFill="1" applyAlignment="1">
      <alignment horizontal="center" vertical="center"/>
    </xf>
    <xf numFmtId="11" fontId="0" fillId="6" borderId="0" xfId="0" applyNumberFormat="1" applyFill="1" applyAlignment="1">
      <alignment vertical="center"/>
    </xf>
    <xf numFmtId="49" fontId="0" fillId="6" borderId="0" xfId="0" applyNumberFormat="1" applyFill="1" applyAlignment="1">
      <alignment vertical="center"/>
    </xf>
    <xf numFmtId="0" fontId="0" fillId="6" borderId="0" xfId="0" applyFill="1" applyAlignment="1">
      <alignment horizontal="center" vertical="center"/>
    </xf>
    <xf numFmtId="11" fontId="0" fillId="7" borderId="0" xfId="0" applyNumberFormat="1" applyFill="1" applyAlignment="1">
      <alignment vertical="center"/>
    </xf>
    <xf numFmtId="49" fontId="0" fillId="7" borderId="0" xfId="0" applyNumberFormat="1" applyFill="1" applyAlignment="1">
      <alignment vertical="center"/>
    </xf>
    <xf numFmtId="0" fontId="0" fillId="7" borderId="0" xfId="0" applyFill="1" applyAlignment="1">
      <alignment horizontal="center" vertical="center"/>
    </xf>
    <xf numFmtId="11" fontId="0" fillId="8" borderId="0" xfId="0" applyNumberFormat="1" applyFill="1" applyAlignment="1">
      <alignment vertical="center"/>
    </xf>
    <xf numFmtId="49" fontId="0" fillId="8" borderId="0" xfId="0" applyNumberFormat="1" applyFill="1" applyAlignment="1">
      <alignment vertical="center"/>
    </xf>
    <xf numFmtId="0" fontId="0" fillId="8" borderId="0" xfId="0" applyFill="1" applyAlignment="1">
      <alignment horizontal="center" vertical="center"/>
    </xf>
    <xf numFmtId="49" fontId="0" fillId="2" borderId="0" xfId="0" applyNumberFormat="1" applyFill="1" applyAlignment="1">
      <alignment vertical="center"/>
    </xf>
    <xf numFmtId="11" fontId="0" fillId="9" borderId="0" xfId="0" applyNumberFormat="1" applyFill="1" applyAlignment="1">
      <alignment vertical="center"/>
    </xf>
    <xf numFmtId="49" fontId="0" fillId="9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ster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3"/>
    </sheetNames>
    <sheetDataSet>
      <sheetData sheetId="0">
        <row r="22">
          <cell r="E22">
            <v>100000000</v>
          </cell>
        </row>
        <row r="22">
          <cell r="H22">
            <v>625000</v>
          </cell>
          <cell r="I22">
            <v>50000000</v>
          </cell>
        </row>
        <row r="22">
          <cell r="K22">
            <v>300</v>
          </cell>
        </row>
        <row r="23">
          <cell r="E23">
            <v>312500000</v>
          </cell>
        </row>
        <row r="23">
          <cell r="H23">
            <v>1375000</v>
          </cell>
          <cell r="I23">
            <v>125000000</v>
          </cell>
        </row>
        <row r="23">
          <cell r="K23">
            <v>350</v>
          </cell>
        </row>
        <row r="24">
          <cell r="E24">
            <v>400000000</v>
          </cell>
        </row>
        <row r="24">
          <cell r="H24">
            <v>2250000</v>
          </cell>
          <cell r="I24">
            <v>200000000</v>
          </cell>
        </row>
        <row r="24">
          <cell r="K24">
            <v>550</v>
          </cell>
        </row>
        <row r="25">
          <cell r="E25">
            <v>1250000000</v>
          </cell>
        </row>
        <row r="25">
          <cell r="H25">
            <v>15000000</v>
          </cell>
          <cell r="I25">
            <v>750000000</v>
          </cell>
        </row>
        <row r="25">
          <cell r="K25">
            <v>750</v>
          </cell>
        </row>
        <row r="28">
          <cell r="E28">
            <v>100000000000</v>
          </cell>
        </row>
        <row r="28">
          <cell r="H28">
            <v>175000000</v>
          </cell>
          <cell r="I28">
            <v>46000000000</v>
          </cell>
        </row>
        <row r="29">
          <cell r="K29">
            <v>3250</v>
          </cell>
        </row>
        <row r="30">
          <cell r="E30">
            <v>25000000000</v>
          </cell>
        </row>
        <row r="30">
          <cell r="H30">
            <v>96250000</v>
          </cell>
          <cell r="I30">
            <v>14375000000</v>
          </cell>
        </row>
        <row r="30">
          <cell r="K30">
            <v>5500</v>
          </cell>
        </row>
        <row r="31">
          <cell r="E31">
            <v>500000000000</v>
          </cell>
        </row>
        <row r="31">
          <cell r="H31">
            <v>500000000</v>
          </cell>
          <cell r="I31">
            <v>287500000000</v>
          </cell>
        </row>
        <row r="31">
          <cell r="K31">
            <v>10000</v>
          </cell>
        </row>
        <row r="32">
          <cell r="E32">
            <v>4000000000000</v>
          </cell>
        </row>
        <row r="32">
          <cell r="H32">
            <v>2000000000</v>
          </cell>
          <cell r="I32">
            <v>3000000000000</v>
          </cell>
        </row>
        <row r="32">
          <cell r="K32">
            <v>15000</v>
          </cell>
        </row>
        <row r="35">
          <cell r="E35">
            <v>1000000000000000</v>
          </cell>
        </row>
        <row r="35">
          <cell r="H35">
            <v>225000000000</v>
          </cell>
          <cell r="I35">
            <v>400000000000000</v>
          </cell>
        </row>
        <row r="36">
          <cell r="K36">
            <v>175000</v>
          </cell>
        </row>
        <row r="37">
          <cell r="E37">
            <v>350000000000000</v>
          </cell>
        </row>
        <row r="37">
          <cell r="H37">
            <v>125000000000</v>
          </cell>
          <cell r="I37">
            <v>87500000000000</v>
          </cell>
        </row>
        <row r="37">
          <cell r="K37">
            <v>437500</v>
          </cell>
        </row>
        <row r="38">
          <cell r="E38">
            <v>1750000000000000</v>
          </cell>
        </row>
        <row r="38">
          <cell r="H38">
            <v>650000000000</v>
          </cell>
          <cell r="I38">
            <v>656250000000000</v>
          </cell>
        </row>
        <row r="38">
          <cell r="K38">
            <v>835000</v>
          </cell>
        </row>
        <row r="39">
          <cell r="E39">
            <v>5000000000000000</v>
          </cell>
        </row>
        <row r="39">
          <cell r="H39">
            <v>3000000000000</v>
          </cell>
          <cell r="I39">
            <v>3000000000000000</v>
          </cell>
        </row>
        <row r="39">
          <cell r="K39">
            <v>1500000</v>
          </cell>
        </row>
        <row r="42">
          <cell r="E42">
            <v>9.6e+18</v>
          </cell>
        </row>
        <row r="42">
          <cell r="H42">
            <v>100000000000000</v>
          </cell>
          <cell r="I42">
            <v>9.6e+17</v>
          </cell>
        </row>
        <row r="43">
          <cell r="K43">
            <v>30000000</v>
          </cell>
        </row>
        <row r="44">
          <cell r="E44">
            <v>3.2e+18</v>
          </cell>
        </row>
        <row r="44">
          <cell r="H44">
            <v>55000000000000</v>
          </cell>
          <cell r="I44">
            <v>2e+17</v>
          </cell>
        </row>
        <row r="44">
          <cell r="K44">
            <v>100000000</v>
          </cell>
        </row>
        <row r="45">
          <cell r="E45">
            <v>1.6e+19</v>
          </cell>
        </row>
        <row r="45">
          <cell r="H45">
            <v>300000000000000</v>
          </cell>
          <cell r="I45">
            <v>2e+18</v>
          </cell>
        </row>
        <row r="45">
          <cell r="K45">
            <v>87500000</v>
          </cell>
        </row>
        <row r="46">
          <cell r="E46">
            <v>2e+19</v>
          </cell>
        </row>
        <row r="46">
          <cell r="H46">
            <v>1000000000000000</v>
          </cell>
          <cell r="I46">
            <v>1.2e+19</v>
          </cell>
        </row>
        <row r="46">
          <cell r="K46">
            <v>250000000</v>
          </cell>
        </row>
        <row r="49">
          <cell r="E49">
            <v>1e+22</v>
          </cell>
        </row>
        <row r="49">
          <cell r="H49">
            <v>3e+16</v>
          </cell>
          <cell r="I49">
            <v>4e+21</v>
          </cell>
        </row>
        <row r="50">
          <cell r="K50">
            <v>5000000000</v>
          </cell>
        </row>
        <row r="51">
          <cell r="E51">
            <v>3e+21</v>
          </cell>
        </row>
        <row r="51">
          <cell r="H51">
            <v>1.9e+16</v>
          </cell>
          <cell r="I51">
            <v>1.5e+21</v>
          </cell>
        </row>
        <row r="51">
          <cell r="K51">
            <v>12500000000</v>
          </cell>
        </row>
        <row r="52">
          <cell r="E52">
            <v>1.5e+22</v>
          </cell>
        </row>
        <row r="52">
          <cell r="H52">
            <v>1e+17</v>
          </cell>
          <cell r="I52">
            <v>7.5e+21</v>
          </cell>
        </row>
        <row r="52">
          <cell r="K52">
            <v>25000000000</v>
          </cell>
        </row>
        <row r="53">
          <cell r="E53">
            <v>5e+22</v>
          </cell>
        </row>
        <row r="53">
          <cell r="H53">
            <v>3.5e+17</v>
          </cell>
          <cell r="I53">
            <v>3e+22</v>
          </cell>
        </row>
        <row r="53">
          <cell r="K53">
            <v>37500000000</v>
          </cell>
        </row>
        <row r="56">
          <cell r="E56">
            <v>2.5e+25</v>
          </cell>
        </row>
        <row r="56">
          <cell r="H56">
            <v>1e+19</v>
          </cell>
          <cell r="I56">
            <v>1e+25</v>
          </cell>
        </row>
        <row r="57">
          <cell r="K57">
            <v>375000000000</v>
          </cell>
        </row>
        <row r="58">
          <cell r="E58">
            <v>7.2e+24</v>
          </cell>
        </row>
        <row r="58">
          <cell r="H58">
            <v>6.25e+18</v>
          </cell>
          <cell r="I58">
            <v>3.6e+24</v>
          </cell>
        </row>
        <row r="58">
          <cell r="K58">
            <v>900000000000</v>
          </cell>
        </row>
        <row r="59">
          <cell r="E59">
            <v>3.75e+25</v>
          </cell>
        </row>
        <row r="59">
          <cell r="H59">
            <v>3.5e+19</v>
          </cell>
          <cell r="I59">
            <v>1.875e+25</v>
          </cell>
        </row>
        <row r="59">
          <cell r="K59">
            <v>1750000000000</v>
          </cell>
        </row>
        <row r="60">
          <cell r="E60">
            <v>1.5e+26</v>
          </cell>
        </row>
        <row r="60">
          <cell r="H60">
            <v>1.25e+20</v>
          </cell>
          <cell r="I60">
            <v>9e+25</v>
          </cell>
        </row>
        <row r="60">
          <cell r="K60">
            <v>2750000000000</v>
          </cell>
        </row>
        <row r="63">
          <cell r="E63">
            <v>7.2e+28</v>
          </cell>
        </row>
        <row r="63">
          <cell r="H63">
            <v>3.76e+21</v>
          </cell>
          <cell r="I63">
            <v>2.88e+28</v>
          </cell>
        </row>
        <row r="64">
          <cell r="K64">
            <v>5000000000000</v>
          </cell>
        </row>
        <row r="65">
          <cell r="E65">
            <v>2e+28</v>
          </cell>
        </row>
        <row r="65">
          <cell r="H65">
            <v>2.35e+21</v>
          </cell>
          <cell r="I65">
            <v>1e+28</v>
          </cell>
        </row>
        <row r="65">
          <cell r="K65">
            <v>10000000000000</v>
          </cell>
        </row>
        <row r="66">
          <cell r="E66">
            <v>1e+29</v>
          </cell>
        </row>
        <row r="66">
          <cell r="H66">
            <v>1.316e+22</v>
          </cell>
          <cell r="I66">
            <v>5e+28</v>
          </cell>
        </row>
        <row r="66">
          <cell r="K66">
            <v>20000000000000</v>
          </cell>
        </row>
        <row r="67">
          <cell r="E67">
            <v>5e+29</v>
          </cell>
        </row>
        <row r="67">
          <cell r="H67">
            <v>4.7376e+22</v>
          </cell>
          <cell r="I67">
            <v>3e+29</v>
          </cell>
        </row>
        <row r="67">
          <cell r="K67">
            <v>35000000000000</v>
          </cell>
        </row>
        <row r="76">
          <cell r="E76">
            <v>6.25e+34</v>
          </cell>
        </row>
        <row r="76">
          <cell r="H76">
            <v>1.9e+26</v>
          </cell>
          <cell r="I76">
            <v>2.5e+34</v>
          </cell>
        </row>
        <row r="78">
          <cell r="K78">
            <v>1.5e+16</v>
          </cell>
        </row>
        <row r="79">
          <cell r="E79">
            <v>1.25e+35</v>
          </cell>
        </row>
        <row r="79">
          <cell r="H79">
            <v>2.375e+26</v>
          </cell>
          <cell r="I79">
            <v>6.25e+34</v>
          </cell>
        </row>
        <row r="79">
          <cell r="K79">
            <v>3e+16</v>
          </cell>
        </row>
        <row r="80">
          <cell r="E80">
            <v>6.5e+35</v>
          </cell>
        </row>
        <row r="80">
          <cell r="H80">
            <v>1e+27</v>
          </cell>
          <cell r="I80">
            <v>3.25e+35</v>
          </cell>
        </row>
        <row r="80">
          <cell r="K80">
            <v>6e+16</v>
          </cell>
        </row>
        <row r="81">
          <cell r="E81">
            <v>3.25e+36</v>
          </cell>
        </row>
        <row r="81">
          <cell r="H81">
            <v>3.75e+27</v>
          </cell>
          <cell r="I81">
            <v>1.95e+36</v>
          </cell>
        </row>
        <row r="81">
          <cell r="K81">
            <v>1e+17</v>
          </cell>
        </row>
        <row r="82">
          <cell r="E82">
            <v>4.875e+37</v>
          </cell>
        </row>
        <row r="82">
          <cell r="H82">
            <v>1.25e+28</v>
          </cell>
          <cell r="I82">
            <v>1.95e+37</v>
          </cell>
        </row>
        <row r="83">
          <cell r="E83">
            <v>1.6e+38</v>
          </cell>
        </row>
        <row r="83">
          <cell r="H83">
            <v>4.75e+28</v>
          </cell>
          <cell r="I83">
            <v>6.4e+37</v>
          </cell>
        </row>
        <row r="85">
          <cell r="K85">
            <v>2.5e+18</v>
          </cell>
        </row>
        <row r="86">
          <cell r="K86">
            <v>5e+18</v>
          </cell>
        </row>
        <row r="87">
          <cell r="E87">
            <v>1.5e+39</v>
          </cell>
        </row>
        <row r="87">
          <cell r="H87">
            <v>2.25e+29</v>
          </cell>
          <cell r="I87">
            <v>7.5e+38</v>
          </cell>
        </row>
        <row r="87">
          <cell r="K87">
            <v>1e+19</v>
          </cell>
        </row>
        <row r="88">
          <cell r="E88">
            <v>7.5e+39</v>
          </cell>
        </row>
        <row r="88">
          <cell r="H88">
            <v>8.4375e+29</v>
          </cell>
          <cell r="I88">
            <v>4.5e+39</v>
          </cell>
        </row>
        <row r="88">
          <cell r="K88">
            <v>1.5e+19</v>
          </cell>
        </row>
        <row r="92">
          <cell r="E92">
            <v>1.5e+41</v>
          </cell>
        </row>
        <row r="92">
          <cell r="H92">
            <v>2.5e+30</v>
          </cell>
          <cell r="I92">
            <v>7.5e+40</v>
          </cell>
        </row>
        <row r="93">
          <cell r="E93">
            <v>7.5e+41</v>
          </cell>
        </row>
        <row r="93">
          <cell r="H93">
            <v>7.5e+30</v>
          </cell>
          <cell r="I93">
            <v>3.75e+41</v>
          </cell>
        </row>
        <row r="94">
          <cell r="E94">
            <v>4e+42</v>
          </cell>
        </row>
        <row r="94">
          <cell r="H94">
            <v>2.25e+31</v>
          </cell>
          <cell r="I94">
            <v>2e+42</v>
          </cell>
        </row>
        <row r="95">
          <cell r="E95">
            <v>2e+43</v>
          </cell>
        </row>
        <row r="95">
          <cell r="H95">
            <v>7e+31</v>
          </cell>
          <cell r="I95">
            <v>1.2e+43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tabSelected="1" workbookViewId="0">
      <selection activeCell="X13" sqref="X13"/>
    </sheetView>
  </sheetViews>
  <sheetFormatPr defaultColWidth="9" defaultRowHeight="13.5"/>
  <cols>
    <col min="2" max="2" width="20.375" customWidth="1"/>
    <col min="3" max="3" width="12.125" customWidth="1"/>
    <col min="4" max="4" width="10.375" customWidth="1"/>
    <col min="5" max="5" width="10.375" style="9" customWidth="1"/>
    <col min="6" max="6" width="9.375" style="10" customWidth="1"/>
    <col min="7" max="7" width="9.375" style="9" customWidth="1"/>
    <col min="8" max="8" width="12.625" style="9" customWidth="1"/>
    <col min="9" max="9" width="15.375" style="9" customWidth="1"/>
  </cols>
  <sheetData>
    <row r="1" spans="1:13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3" t="s">
        <v>5</v>
      </c>
      <c r="G1" s="12" t="s">
        <v>6</v>
      </c>
      <c r="H1" s="12" t="s">
        <v>7</v>
      </c>
      <c r="I1" s="12" t="s">
        <v>8</v>
      </c>
      <c r="J1" s="11" t="s">
        <v>9</v>
      </c>
      <c r="K1" s="11" t="s">
        <v>10</v>
      </c>
    </row>
    <row r="2" spans="1:13">
      <c r="A2" s="11" t="s">
        <v>0</v>
      </c>
      <c r="B2" s="11" t="s">
        <v>11</v>
      </c>
      <c r="C2" s="11" t="s">
        <v>12</v>
      </c>
      <c r="D2" s="11" t="s">
        <v>13</v>
      </c>
      <c r="E2" s="12" t="s">
        <v>14</v>
      </c>
      <c r="F2" s="13" t="s">
        <v>15</v>
      </c>
      <c r="G2" s="12" t="s">
        <v>16</v>
      </c>
      <c r="H2" s="12" t="s">
        <v>17</v>
      </c>
      <c r="I2" s="12" t="s">
        <v>18</v>
      </c>
      <c r="J2" s="11" t="s">
        <v>19</v>
      </c>
      <c r="K2" s="14" t="s">
        <v>20</v>
      </c>
    </row>
    <row r="3" spans="1:13">
      <c r="A3" s="11" t="s">
        <v>21</v>
      </c>
      <c r="B3" s="11" t="s">
        <v>22</v>
      </c>
      <c r="C3" s="11" t="s">
        <v>21</v>
      </c>
      <c r="D3" s="11" t="s">
        <v>22</v>
      </c>
      <c r="E3" s="12" t="s">
        <v>21</v>
      </c>
      <c r="F3" s="13" t="s">
        <v>22</v>
      </c>
      <c r="G3" s="12" t="s">
        <v>21</v>
      </c>
      <c r="H3" s="12" t="s">
        <v>21</v>
      </c>
      <c r="I3" s="12" t="s">
        <v>21</v>
      </c>
      <c r="J3" s="11" t="s">
        <v>21</v>
      </c>
      <c r="K3" s="11" t="s">
        <v>21</v>
      </c>
    </row>
    <row r="4" s="1" customFormat="1" spans="1:13">
      <c r="A4" s="1">
        <v>1</v>
      </c>
      <c r="B4" s="1" t="s">
        <v>23</v>
      </c>
      <c r="E4" s="15">
        <f>[1]Sheet1!$E$22</f>
        <v>100000000</v>
      </c>
      <c r="F4" s="16">
        <v>2</v>
      </c>
      <c r="G4" s="15">
        <f>[1]Sheet1!$H$22/4</f>
        <v>156250</v>
      </c>
      <c r="H4" s="1">
        <f>[1]Sheet1!$I$22*M4</f>
        <v>6250000</v>
      </c>
      <c r="I4" s="15">
        <f>[1]Sheet1!$K$22*1.33</f>
        <v>399</v>
      </c>
      <c r="J4" s="1">
        <v>10</v>
      </c>
      <c r="K4" s="1">
        <v>8</v>
      </c>
      <c r="M4" s="1">
        <v>0.125</v>
      </c>
    </row>
    <row r="5" s="1" customFormat="1" spans="1:13">
      <c r="A5" s="1">
        <v>2</v>
      </c>
      <c r="B5" s="1" t="s">
        <v>24</v>
      </c>
      <c r="E5" s="17">
        <f>[1]Sheet1!$E$23</f>
        <v>312500000</v>
      </c>
      <c r="F5" s="18">
        <v>3</v>
      </c>
      <c r="G5" s="15">
        <f>[1]Sheet1!$H$23/4</f>
        <v>343750</v>
      </c>
      <c r="H5" s="1">
        <f>[1]Sheet1!$I$23*M5</f>
        <v>15625000</v>
      </c>
      <c r="I5" s="15">
        <f>[1]Sheet1!$K$23*1.33</f>
        <v>465.5</v>
      </c>
      <c r="J5" s="1">
        <v>12</v>
      </c>
      <c r="K5" s="1">
        <v>8</v>
      </c>
      <c r="M5" s="1">
        <v>0.125</v>
      </c>
    </row>
    <row r="6" s="1" customFormat="1" spans="1:13">
      <c r="A6" s="1">
        <v>3</v>
      </c>
      <c r="B6" s="1" t="s">
        <v>25</v>
      </c>
      <c r="E6" s="17">
        <f>[1]Sheet1!$E$24</f>
        <v>400000000</v>
      </c>
      <c r="F6" s="18">
        <v>4</v>
      </c>
      <c r="G6" s="15">
        <f>[1]Sheet1!$H$24/4</f>
        <v>562500</v>
      </c>
      <c r="H6" s="1">
        <f>[1]Sheet1!$I$24*M6</f>
        <v>25000000</v>
      </c>
      <c r="I6" s="15">
        <f>[1]Sheet1!$K$24*1.33</f>
        <v>731.5</v>
      </c>
      <c r="J6" s="1">
        <v>14</v>
      </c>
      <c r="K6" s="1">
        <v>8</v>
      </c>
      <c r="M6" s="1">
        <v>0.125</v>
      </c>
    </row>
    <row r="7" s="1" customFormat="1" spans="1:13">
      <c r="A7" s="1">
        <v>4</v>
      </c>
      <c r="B7" s="1" t="s">
        <v>26</v>
      </c>
      <c r="C7" s="1">
        <v>1</v>
      </c>
      <c r="D7" s="19" t="s">
        <v>27</v>
      </c>
      <c r="E7" s="15">
        <f>[1]Sheet1!$E$25*4</f>
        <v>5000000000</v>
      </c>
      <c r="F7" s="20" t="s">
        <v>28</v>
      </c>
      <c r="G7" s="15">
        <f>[1]Sheet1!$H$25/4</f>
        <v>3750000</v>
      </c>
      <c r="H7" s="17">
        <f>[1]Sheet1!$I$25*M7</f>
        <v>3750000000</v>
      </c>
      <c r="I7" s="15">
        <f>[1]Sheet1!$K$25*1.33</f>
        <v>997.5</v>
      </c>
      <c r="J7" s="1">
        <v>16</v>
      </c>
      <c r="K7" s="1">
        <v>8</v>
      </c>
      <c r="M7" s="1">
        <v>5</v>
      </c>
    </row>
    <row r="8" s="2" customFormat="1" spans="1:13">
      <c r="A8" s="2">
        <v>5</v>
      </c>
      <c r="B8" s="2" t="s">
        <v>23</v>
      </c>
      <c r="E8" s="21">
        <f>[1]Sheet1!$E$30</f>
        <v>25000000000</v>
      </c>
      <c r="F8" s="22">
        <v>2</v>
      </c>
      <c r="G8" s="23">
        <f>[1]Sheet1!$H$30/4</f>
        <v>24062500</v>
      </c>
      <c r="H8" s="21">
        <f>[1]Sheet1!$I$30*M8</f>
        <v>1796875000</v>
      </c>
      <c r="I8" s="23">
        <f>[1]Sheet1!$K$29*1.33</f>
        <v>4322.5</v>
      </c>
      <c r="J8" s="2">
        <v>20</v>
      </c>
      <c r="K8" s="2">
        <v>6</v>
      </c>
      <c r="M8" s="1">
        <v>0.125</v>
      </c>
    </row>
    <row r="9" s="2" customFormat="1" spans="1:13">
      <c r="A9" s="2">
        <v>6</v>
      </c>
      <c r="B9" s="2" t="s">
        <v>24</v>
      </c>
      <c r="E9" s="21">
        <f>[1]Sheet1!$E$28</f>
        <v>100000000000</v>
      </c>
      <c r="F9" s="24">
        <v>3</v>
      </c>
      <c r="G9" s="23">
        <f>[1]Sheet1!$H$28/4</f>
        <v>43750000</v>
      </c>
      <c r="H9" s="21">
        <f>[1]Sheet1!$I$28*M9</f>
        <v>5750000000</v>
      </c>
      <c r="I9" s="23">
        <f>[1]Sheet1!$K$30*1.33</f>
        <v>7315</v>
      </c>
      <c r="J9" s="2">
        <v>21</v>
      </c>
      <c r="K9" s="2">
        <v>6</v>
      </c>
      <c r="M9" s="1">
        <v>0.125</v>
      </c>
    </row>
    <row r="10" s="2" customFormat="1" spans="1:13">
      <c r="A10" s="2">
        <v>7</v>
      </c>
      <c r="B10" s="2" t="s">
        <v>25</v>
      </c>
      <c r="E10" s="21">
        <f>[1]Sheet1!$E$31</f>
        <v>500000000000</v>
      </c>
      <c r="F10" s="24">
        <v>4</v>
      </c>
      <c r="G10" s="23">
        <f>[1]Sheet1!$H$31/4</f>
        <v>125000000</v>
      </c>
      <c r="H10" s="21">
        <f>[1]Sheet1!$I$31*M10</f>
        <v>35937500000</v>
      </c>
      <c r="I10" s="23">
        <f>[1]Sheet1!$K$31*1.33</f>
        <v>13300</v>
      </c>
      <c r="J10" s="2">
        <v>22</v>
      </c>
      <c r="K10" s="2">
        <v>6</v>
      </c>
      <c r="M10" s="1">
        <v>0.125</v>
      </c>
    </row>
    <row r="11" s="2" customFormat="1" spans="1:13">
      <c r="A11" s="2">
        <v>8</v>
      </c>
      <c r="B11" s="2" t="s">
        <v>26</v>
      </c>
      <c r="C11" s="2">
        <v>1</v>
      </c>
      <c r="D11" s="25" t="s">
        <v>27</v>
      </c>
      <c r="E11" s="23">
        <f>[1]Sheet1!$E$32*4</f>
        <v>16000000000000</v>
      </c>
      <c r="F11" s="26" t="s">
        <v>28</v>
      </c>
      <c r="G11" s="23">
        <f>[1]Sheet1!$H$32/4</f>
        <v>500000000</v>
      </c>
      <c r="H11" s="21">
        <f>[1]Sheet1!$I$32*M11</f>
        <v>15000000000000</v>
      </c>
      <c r="I11" s="23">
        <f>[1]Sheet1!$K$32*1.33</f>
        <v>19950</v>
      </c>
      <c r="J11" s="2">
        <v>25</v>
      </c>
      <c r="K11" s="2">
        <v>6</v>
      </c>
      <c r="M11" s="1">
        <v>5</v>
      </c>
    </row>
    <row r="12" s="3" customFormat="1" spans="1:13">
      <c r="A12" s="3">
        <v>9</v>
      </c>
      <c r="B12" s="3" t="s">
        <v>23</v>
      </c>
      <c r="E12" s="27">
        <f>[1]Sheet1!$E$37</f>
        <v>350000000000000</v>
      </c>
      <c r="F12" s="28">
        <v>2</v>
      </c>
      <c r="G12" s="3">
        <f>[1]Sheet1!$H$37/4</f>
        <v>31250000000</v>
      </c>
      <c r="H12" s="27">
        <f>[1]Sheet1!$I$37*M12</f>
        <v>10937500000000</v>
      </c>
      <c r="I12" s="29">
        <f>[1]Sheet1!$K$36*1.33</f>
        <v>232750</v>
      </c>
      <c r="J12" s="3">
        <v>50</v>
      </c>
      <c r="K12" s="3">
        <v>5</v>
      </c>
      <c r="M12" s="1">
        <v>0.125</v>
      </c>
    </row>
    <row r="13" s="3" customFormat="1" spans="1:13">
      <c r="A13" s="3">
        <v>10</v>
      </c>
      <c r="B13" s="3" t="s">
        <v>24</v>
      </c>
      <c r="E13" s="27">
        <f>[1]Sheet1!$E$35</f>
        <v>1000000000000000</v>
      </c>
      <c r="F13" s="30">
        <v>3</v>
      </c>
      <c r="G13" s="3">
        <f>[1]Sheet1!$H$35/4</f>
        <v>56250000000</v>
      </c>
      <c r="H13" s="27">
        <f>[1]Sheet1!$I$35*M13</f>
        <v>50000000000000</v>
      </c>
      <c r="I13" s="29">
        <f>[1]Sheet1!$K$37*1.33</f>
        <v>581875</v>
      </c>
      <c r="J13" s="3">
        <v>60</v>
      </c>
      <c r="K13" s="3">
        <v>5</v>
      </c>
      <c r="M13" s="1">
        <v>0.125</v>
      </c>
    </row>
    <row r="14" s="3" customFormat="1" spans="1:13">
      <c r="A14" s="3">
        <v>11</v>
      </c>
      <c r="B14" s="3" t="s">
        <v>25</v>
      </c>
      <c r="E14" s="27">
        <f>[1]Sheet1!$E$38</f>
        <v>1750000000000000</v>
      </c>
      <c r="F14" s="30">
        <v>4</v>
      </c>
      <c r="G14" s="3">
        <f>[1]Sheet1!$H$38/4</f>
        <v>162500000000</v>
      </c>
      <c r="H14" s="27">
        <f>[1]Sheet1!$I$38*M14</f>
        <v>82031250000000</v>
      </c>
      <c r="I14" s="29">
        <f>[1]Sheet1!$K$38*1.33</f>
        <v>1110550</v>
      </c>
      <c r="J14" s="3">
        <v>75</v>
      </c>
      <c r="K14" s="3">
        <v>5</v>
      </c>
      <c r="M14" s="1">
        <v>0.125</v>
      </c>
    </row>
    <row r="15" s="3" customFormat="1" spans="1:13">
      <c r="A15" s="3">
        <v>12</v>
      </c>
      <c r="B15" s="3" t="s">
        <v>26</v>
      </c>
      <c r="C15" s="3">
        <v>1</v>
      </c>
      <c r="D15" s="31" t="s">
        <v>27</v>
      </c>
      <c r="E15" s="29">
        <f>[1]Sheet1!$E$39*4</f>
        <v>2e+16</v>
      </c>
      <c r="F15" s="32" t="s">
        <v>28</v>
      </c>
      <c r="G15" s="3">
        <f>[1]Sheet1!$H$39/4</f>
        <v>750000000000</v>
      </c>
      <c r="H15" s="27">
        <f>[1]Sheet1!$I$39*M15</f>
        <v>1.5e+16</v>
      </c>
      <c r="I15" s="29">
        <f>[1]Sheet1!$K$39*1.33</f>
        <v>1995000</v>
      </c>
      <c r="J15" s="3">
        <v>100</v>
      </c>
      <c r="K15" s="3">
        <v>5</v>
      </c>
      <c r="M15" s="1">
        <v>5</v>
      </c>
    </row>
    <row r="16" s="4" customFormat="1" spans="1:13">
      <c r="A16" s="4">
        <v>13</v>
      </c>
      <c r="B16" s="4" t="s">
        <v>29</v>
      </c>
      <c r="E16" s="33">
        <f>[1]Sheet1!$E$44</f>
        <v>3.2e+18</v>
      </c>
      <c r="F16" s="34">
        <v>41</v>
      </c>
      <c r="G16" s="35">
        <f>[1]Sheet1!$H$44/4</f>
        <v>13750000000000</v>
      </c>
      <c r="H16" s="33">
        <f>[1]Sheet1!$I$44*M16</f>
        <v>2.5e+16</v>
      </c>
      <c r="I16" s="35">
        <f>[1]Sheet1!$K$43</f>
        <v>30000000</v>
      </c>
      <c r="J16" s="4">
        <v>1000</v>
      </c>
      <c r="K16" s="4">
        <v>5</v>
      </c>
      <c r="M16" s="1">
        <v>0.125</v>
      </c>
    </row>
    <row r="17" s="4" customFormat="1" spans="1:13">
      <c r="A17" s="4">
        <v>14</v>
      </c>
      <c r="B17" s="4" t="s">
        <v>30</v>
      </c>
      <c r="E17" s="33">
        <f>[1]Sheet1!$E$42</f>
        <v>9.6e+18</v>
      </c>
      <c r="F17" s="34">
        <v>42</v>
      </c>
      <c r="G17" s="35">
        <f>[1]Sheet1!$H$42/4</f>
        <v>25000000000000</v>
      </c>
      <c r="H17" s="33">
        <f>[1]Sheet1!$I$42*M17</f>
        <v>1.2e+17</v>
      </c>
      <c r="I17" s="35">
        <f>[1]Sheet1!$K$44*1.33</f>
        <v>133000000</v>
      </c>
      <c r="J17" s="4">
        <v>2000</v>
      </c>
      <c r="K17" s="4">
        <v>5</v>
      </c>
      <c r="M17" s="1">
        <v>0.125</v>
      </c>
    </row>
    <row r="18" s="4" customFormat="1" spans="1:13">
      <c r="A18" s="4">
        <v>15</v>
      </c>
      <c r="B18" s="4" t="s">
        <v>31</v>
      </c>
      <c r="E18" s="33">
        <f>[1]Sheet1!$E$45</f>
        <v>1.6e+19</v>
      </c>
      <c r="F18" s="34">
        <v>43</v>
      </c>
      <c r="G18" s="35">
        <f>[1]Sheet1!$H$45/4</f>
        <v>75000000000000</v>
      </c>
      <c r="H18" s="33">
        <f>[1]Sheet1!$I$45*M18</f>
        <v>2.5e+17</v>
      </c>
      <c r="I18" s="35">
        <f>[1]Sheet1!$K$45*1.33</f>
        <v>116375000</v>
      </c>
      <c r="J18" s="4">
        <v>3000</v>
      </c>
      <c r="K18" s="4">
        <v>5</v>
      </c>
      <c r="M18" s="1">
        <v>0.125</v>
      </c>
    </row>
    <row r="19" s="4" customFormat="1" spans="1:13">
      <c r="A19" s="4">
        <v>16</v>
      </c>
      <c r="B19" s="4" t="s">
        <v>32</v>
      </c>
      <c r="C19" s="4">
        <v>3</v>
      </c>
      <c r="D19" s="36" t="s">
        <v>33</v>
      </c>
      <c r="E19" s="35">
        <f>[1]Sheet1!$E$46*4</f>
        <v>8e+19</v>
      </c>
      <c r="F19" s="34" t="s">
        <v>34</v>
      </c>
      <c r="G19" s="35">
        <f>[1]Sheet1!$H$46/4</f>
        <v>250000000000000</v>
      </c>
      <c r="H19" s="33">
        <f>[1]Sheet1!$I$46*M19</f>
        <v>6e+19</v>
      </c>
      <c r="I19" s="35">
        <f>[1]Sheet1!$K$46*1.33</f>
        <v>332500000</v>
      </c>
      <c r="J19" s="4">
        <v>4000</v>
      </c>
      <c r="K19" s="4">
        <v>5</v>
      </c>
      <c r="M19" s="1">
        <v>5</v>
      </c>
    </row>
    <row r="20" s="5" customFormat="1" spans="1:13">
      <c r="A20" s="5">
        <v>17</v>
      </c>
      <c r="B20" s="5" t="s">
        <v>29</v>
      </c>
      <c r="E20" s="37">
        <f>[1]Sheet1!$E$51</f>
        <v>3e+21</v>
      </c>
      <c r="F20" s="38">
        <v>41</v>
      </c>
      <c r="G20" s="37">
        <f>[1]Sheet1!$H$51/4</f>
        <v>4750000000000000</v>
      </c>
      <c r="H20" s="37">
        <f>[1]Sheet1!$I$51*M20</f>
        <v>1.875e+20</v>
      </c>
      <c r="I20" s="37">
        <f>[1]Sheet1!$K$50</f>
        <v>5000000000</v>
      </c>
      <c r="J20" s="5">
        <v>15000</v>
      </c>
      <c r="K20" s="5">
        <v>5</v>
      </c>
      <c r="M20" s="1">
        <v>0.125</v>
      </c>
    </row>
    <row r="21" s="5" customFormat="1" spans="1:13">
      <c r="A21" s="5">
        <v>18</v>
      </c>
      <c r="B21" s="5" t="s">
        <v>30</v>
      </c>
      <c r="E21" s="37">
        <f>[1]Sheet1!$E$49</f>
        <v>1e+22</v>
      </c>
      <c r="F21" s="38">
        <v>42</v>
      </c>
      <c r="G21" s="37">
        <f>[1]Sheet1!$H$49/4</f>
        <v>7500000000000000</v>
      </c>
      <c r="H21" s="37">
        <f>[1]Sheet1!$I$49*M21</f>
        <v>5e+20</v>
      </c>
      <c r="I21" s="37">
        <f>[1]Sheet1!$K$51*1.33</f>
        <v>16625000000</v>
      </c>
      <c r="J21" s="5">
        <v>20000</v>
      </c>
      <c r="K21" s="5">
        <v>5</v>
      </c>
      <c r="M21" s="1">
        <v>0.125</v>
      </c>
    </row>
    <row r="22" s="5" customFormat="1" spans="1:13">
      <c r="A22" s="5">
        <v>19</v>
      </c>
      <c r="B22" s="5" t="s">
        <v>31</v>
      </c>
      <c r="E22" s="37">
        <f>[1]Sheet1!$E$52</f>
        <v>1.5e+22</v>
      </c>
      <c r="F22" s="38">
        <v>43</v>
      </c>
      <c r="G22" s="37">
        <f>[1]Sheet1!$H$52/4</f>
        <v>2.5e+16</v>
      </c>
      <c r="H22" s="37">
        <f>[1]Sheet1!$I$52*M22</f>
        <v>9.375e+20</v>
      </c>
      <c r="I22" s="37">
        <f>[1]Sheet1!$K$52*1.33</f>
        <v>33250000000</v>
      </c>
      <c r="J22" s="5">
        <v>30000</v>
      </c>
      <c r="K22" s="5">
        <v>5</v>
      </c>
      <c r="M22" s="1">
        <v>0.125</v>
      </c>
    </row>
    <row r="23" s="5" customFormat="1" spans="1:13">
      <c r="A23" s="5">
        <v>20</v>
      </c>
      <c r="B23" s="5" t="s">
        <v>32</v>
      </c>
      <c r="C23" s="5">
        <v>3</v>
      </c>
      <c r="D23" s="39" t="s">
        <v>33</v>
      </c>
      <c r="E23" s="37">
        <f>[1]Sheet1!$E$53*4</f>
        <v>2e+23</v>
      </c>
      <c r="F23" s="38" t="s">
        <v>34</v>
      </c>
      <c r="G23" s="37">
        <f>[1]Sheet1!$H$53/4</f>
        <v>8.75e+16</v>
      </c>
      <c r="H23" s="37">
        <f>[1]Sheet1!$I$53*M23</f>
        <v>1.5e+23</v>
      </c>
      <c r="I23" s="37">
        <f>[1]Sheet1!$K$53*1.33</f>
        <v>49875000000</v>
      </c>
      <c r="J23" s="5">
        <v>50000</v>
      </c>
      <c r="K23" s="5">
        <v>5</v>
      </c>
      <c r="M23" s="1">
        <v>5</v>
      </c>
    </row>
    <row r="24" s="6" customFormat="1" spans="1:13">
      <c r="A24" s="6">
        <v>21</v>
      </c>
      <c r="B24" s="6" t="s">
        <v>29</v>
      </c>
      <c r="E24" s="40">
        <f>[1]Sheet1!$E$58</f>
        <v>7.2e+24</v>
      </c>
      <c r="F24" s="41">
        <v>41</v>
      </c>
      <c r="G24" s="40">
        <f>[1]Sheet1!$H$58/4</f>
        <v>1.5625e+18</v>
      </c>
      <c r="H24" s="40">
        <f>[1]Sheet1!$I$58*M24</f>
        <v>4.5e+23</v>
      </c>
      <c r="I24" s="40">
        <f>[1]Sheet1!$K$57*1.33</f>
        <v>498750000000</v>
      </c>
      <c r="J24" s="6">
        <v>90000</v>
      </c>
      <c r="K24" s="6">
        <v>5</v>
      </c>
      <c r="M24" s="6">
        <v>0.125</v>
      </c>
    </row>
    <row r="25" s="6" customFormat="1" spans="1:13">
      <c r="A25" s="6">
        <v>22</v>
      </c>
      <c r="B25" s="6" t="s">
        <v>30</v>
      </c>
      <c r="E25" s="40">
        <f>[1]Sheet1!$E$56</f>
        <v>2.5e+25</v>
      </c>
      <c r="F25" s="41">
        <v>42</v>
      </c>
      <c r="G25" s="40">
        <f>[1]Sheet1!$H$56/4</f>
        <v>2.5e+18</v>
      </c>
      <c r="H25" s="40">
        <f>[1]Sheet1!$I$56*M25</f>
        <v>1.25e+24</v>
      </c>
      <c r="I25" s="40">
        <f>[1]Sheet1!$K$58*1.33</f>
        <v>1197000000000</v>
      </c>
      <c r="J25" s="6">
        <v>100000</v>
      </c>
      <c r="K25" s="6">
        <v>5</v>
      </c>
      <c r="M25" s="6">
        <v>0.125</v>
      </c>
    </row>
    <row r="26" s="6" customFormat="1" spans="1:13">
      <c r="A26" s="6">
        <v>23</v>
      </c>
      <c r="B26" s="6" t="s">
        <v>31</v>
      </c>
      <c r="E26" s="40">
        <f>[1]Sheet1!$E$59</f>
        <v>3.75e+25</v>
      </c>
      <c r="F26" s="41">
        <v>43</v>
      </c>
      <c r="G26" s="40">
        <f>[1]Sheet1!$H$59/4</f>
        <v>8.75e+18</v>
      </c>
      <c r="H26" s="40">
        <f>[1]Sheet1!$I$59*M26</f>
        <v>2.34375e+24</v>
      </c>
      <c r="I26" s="40">
        <f>[1]Sheet1!$K$59*1.33</f>
        <v>2327500000000</v>
      </c>
      <c r="J26" s="6">
        <v>110000</v>
      </c>
      <c r="K26" s="6">
        <v>5</v>
      </c>
      <c r="M26" s="6">
        <v>0.125</v>
      </c>
    </row>
    <row r="27" s="6" customFormat="1" spans="1:13">
      <c r="A27" s="6">
        <v>24</v>
      </c>
      <c r="B27" s="6" t="s">
        <v>32</v>
      </c>
      <c r="C27" s="6">
        <v>3</v>
      </c>
      <c r="D27" s="42" t="s">
        <v>33</v>
      </c>
      <c r="E27" s="40">
        <f>[1]Sheet1!$E$60*4</f>
        <v>6e+26</v>
      </c>
      <c r="F27" s="41" t="s">
        <v>34</v>
      </c>
      <c r="G27" s="40">
        <f>[1]Sheet1!$H$60/4</f>
        <v>3.125e+19</v>
      </c>
      <c r="H27" s="40">
        <f>[1]Sheet1!$I$60*M27</f>
        <v>4.5e+26</v>
      </c>
      <c r="I27" s="40">
        <f>[1]Sheet1!$K$60*1.33</f>
        <v>3657500000000</v>
      </c>
      <c r="J27" s="6">
        <v>125000</v>
      </c>
      <c r="K27" s="6">
        <v>5</v>
      </c>
      <c r="M27" s="6">
        <v>5</v>
      </c>
    </row>
    <row r="28" s="5" customFormat="1" spans="1:13">
      <c r="A28" s="5">
        <v>25</v>
      </c>
      <c r="B28" s="5" t="s">
        <v>35</v>
      </c>
      <c r="E28" s="37">
        <f>[1]Sheet1!$E$65</f>
        <v>2e+28</v>
      </c>
      <c r="F28" s="38">
        <v>94</v>
      </c>
      <c r="G28" s="37">
        <f>[1]Sheet1!$H$65/4</f>
        <v>5.875e+20</v>
      </c>
      <c r="H28" s="37">
        <f>[1]Sheet1!$I$65*M28</f>
        <v>1.25e+27</v>
      </c>
      <c r="I28" s="37">
        <f>[1]Sheet1!$K$64*1.33</f>
        <v>6650000000000</v>
      </c>
      <c r="J28" s="5">
        <v>300000</v>
      </c>
      <c r="K28" s="5">
        <v>5</v>
      </c>
      <c r="M28" s="5">
        <v>0.125</v>
      </c>
    </row>
    <row r="29" s="5" customFormat="1" spans="1:13">
      <c r="A29" s="5">
        <v>26</v>
      </c>
      <c r="B29" s="5" t="s">
        <v>36</v>
      </c>
      <c r="E29" s="37">
        <f>[1]Sheet1!$E$63</f>
        <v>7.2e+28</v>
      </c>
      <c r="F29" s="38">
        <v>95</v>
      </c>
      <c r="G29" s="37">
        <f>[1]Sheet1!$H$63/4</f>
        <v>9.4e+20</v>
      </c>
      <c r="H29" s="37">
        <f>[1]Sheet1!$I$63*M29</f>
        <v>3.6e+27</v>
      </c>
      <c r="I29" s="37">
        <f>[1]Sheet1!$K$65*1.33</f>
        <v>13300000000000</v>
      </c>
      <c r="J29" s="5">
        <v>340000</v>
      </c>
      <c r="K29" s="5">
        <v>5</v>
      </c>
      <c r="M29" s="5">
        <v>0.125</v>
      </c>
    </row>
    <row r="30" s="5" customFormat="1" spans="1:13">
      <c r="A30" s="5">
        <v>27</v>
      </c>
      <c r="B30" s="5" t="s">
        <v>37</v>
      </c>
      <c r="E30" s="5">
        <f>[1]Sheet1!$E$66</f>
        <v>1e+29</v>
      </c>
      <c r="F30" s="38">
        <v>96</v>
      </c>
      <c r="G30" s="5">
        <f>[1]Sheet1!$H$66/4</f>
        <v>3.29e+21</v>
      </c>
      <c r="H30" s="5">
        <f>[1]Sheet1!$I$66*M30</f>
        <v>6.25e+27</v>
      </c>
      <c r="I30" s="37">
        <f>[1]Sheet1!$K$66*1.33</f>
        <v>26600000000000</v>
      </c>
      <c r="J30" s="5">
        <v>360000</v>
      </c>
      <c r="K30" s="5">
        <v>5</v>
      </c>
      <c r="M30" s="5">
        <v>0.125</v>
      </c>
    </row>
    <row r="31" s="5" customFormat="1" spans="1:13">
      <c r="A31" s="5">
        <v>28</v>
      </c>
      <c r="B31" s="5" t="s">
        <v>38</v>
      </c>
      <c r="C31" s="5">
        <v>3</v>
      </c>
      <c r="D31" s="42" t="s">
        <v>33</v>
      </c>
      <c r="E31" s="5">
        <f>[1]Sheet1!$E$67*4</f>
        <v>2e+30</v>
      </c>
      <c r="F31" s="38" t="s">
        <v>39</v>
      </c>
      <c r="G31" s="5">
        <f>[1]Sheet1!$H$67/4</f>
        <v>1.1844e+22</v>
      </c>
      <c r="H31" s="5">
        <f>[1]Sheet1!$I$67*M31</f>
        <v>1.5e+30</v>
      </c>
      <c r="I31" s="37">
        <f>[1]Sheet1!$K$67*1.33</f>
        <v>46550000000000</v>
      </c>
      <c r="J31" s="5">
        <v>380000</v>
      </c>
      <c r="K31" s="5">
        <v>5</v>
      </c>
      <c r="M31" s="5">
        <v>5</v>
      </c>
    </row>
    <row r="32" s="6" customFormat="1" spans="1:13">
      <c r="A32" s="6">
        <v>29</v>
      </c>
      <c r="B32" s="6" t="s">
        <v>35</v>
      </c>
      <c r="C32" s="6"/>
      <c r="D32" s="6"/>
      <c r="E32" s="40">
        <v>2e+33</v>
      </c>
      <c r="F32" s="41">
        <v>94</v>
      </c>
      <c r="G32" s="40">
        <v>1.875e+23</v>
      </c>
      <c r="H32" s="40">
        <v>3.125e+30</v>
      </c>
      <c r="I32" s="40">
        <v>399000000000000</v>
      </c>
      <c r="J32" s="6">
        <v>430000</v>
      </c>
      <c r="K32" s="6">
        <v>5</v>
      </c>
      <c r="L32" s="6"/>
      <c r="M32" s="6">
        <v>0.125</v>
      </c>
    </row>
    <row r="33" s="6" customFormat="1" spans="1:13">
      <c r="A33" s="6">
        <v>30</v>
      </c>
      <c r="B33" s="6" t="s">
        <v>36</v>
      </c>
      <c r="C33" s="6"/>
      <c r="D33" s="6"/>
      <c r="E33" s="40">
        <v>7e+33</v>
      </c>
      <c r="F33" s="41">
        <v>95</v>
      </c>
      <c r="G33" s="40">
        <v>2.5e+23</v>
      </c>
      <c r="H33" s="40">
        <v>8.75e+30</v>
      </c>
      <c r="I33" s="40">
        <v>665000000000000</v>
      </c>
      <c r="J33" s="6">
        <v>460000</v>
      </c>
      <c r="K33" s="6">
        <v>5</v>
      </c>
      <c r="L33" s="6"/>
      <c r="M33" s="6">
        <v>0.125</v>
      </c>
    </row>
    <row r="34" s="6" customFormat="1" spans="1:13">
      <c r="A34" s="6">
        <v>31</v>
      </c>
      <c r="B34" s="6" t="s">
        <v>37</v>
      </c>
      <c r="C34" s="6"/>
      <c r="D34" s="6"/>
      <c r="E34" s="6">
        <v>1e+34</v>
      </c>
      <c r="F34" s="41">
        <v>96</v>
      </c>
      <c r="G34" s="6">
        <v>1e+24</v>
      </c>
      <c r="H34" s="6">
        <v>1.5625e+31</v>
      </c>
      <c r="I34" s="40">
        <v>1662500000000000</v>
      </c>
      <c r="J34" s="6">
        <v>490000</v>
      </c>
      <c r="K34" s="6">
        <v>5</v>
      </c>
      <c r="L34" s="6"/>
      <c r="M34" s="6">
        <v>0.125</v>
      </c>
    </row>
    <row r="35" s="6" customFormat="1" spans="1:13">
      <c r="A35" s="6">
        <v>32</v>
      </c>
      <c r="B35" s="6" t="s">
        <v>38</v>
      </c>
      <c r="C35" s="6">
        <v>3</v>
      </c>
      <c r="D35" s="42" t="s">
        <v>33</v>
      </c>
      <c r="E35" s="6">
        <v>2e+35</v>
      </c>
      <c r="F35" s="41" t="s">
        <v>39</v>
      </c>
      <c r="G35" s="6">
        <v>3.75e+24</v>
      </c>
      <c r="H35" s="6">
        <v>3.75e+33</v>
      </c>
      <c r="I35" s="40">
        <v>3325000000000000</v>
      </c>
      <c r="J35" s="6">
        <v>520000</v>
      </c>
      <c r="K35" s="6">
        <v>5</v>
      </c>
      <c r="L35" s="6"/>
      <c r="M35" s="6">
        <v>5</v>
      </c>
    </row>
    <row r="36" s="7" customFormat="1" spans="1:13">
      <c r="A36" s="7">
        <v>33</v>
      </c>
      <c r="B36" s="7" t="s">
        <v>35</v>
      </c>
      <c r="C36" s="7"/>
      <c r="D36" s="7"/>
      <c r="E36" s="43">
        <f>[1]Sheet1!$E$76</f>
        <v>6.25e+34</v>
      </c>
      <c r="F36" s="44">
        <v>94</v>
      </c>
      <c r="G36" s="43">
        <f>[1]Sheet1!$H$76/4</f>
        <v>4.75e+25</v>
      </c>
      <c r="H36" s="43">
        <f>[1]Sheet1!$I$76*M36</f>
        <v>3.125e+33</v>
      </c>
      <c r="I36" s="43">
        <f>[1]Sheet1!$K$78*1.33</f>
        <v>1.995e+16</v>
      </c>
      <c r="J36" s="7">
        <v>600000</v>
      </c>
      <c r="K36" s="7">
        <v>5</v>
      </c>
      <c r="L36" s="7"/>
      <c r="M36" s="7">
        <v>0.125</v>
      </c>
    </row>
    <row r="37" s="7" customFormat="1" spans="1:13">
      <c r="A37" s="7">
        <v>34</v>
      </c>
      <c r="B37" s="7" t="s">
        <v>36</v>
      </c>
      <c r="C37" s="7"/>
      <c r="D37" s="7"/>
      <c r="E37" s="43">
        <f>[1]Sheet1!$E$79</f>
        <v>1.25e+35</v>
      </c>
      <c r="F37" s="44">
        <v>95</v>
      </c>
      <c r="G37" s="43">
        <f>[1]Sheet1!$H$79/4</f>
        <v>5.9375e+25</v>
      </c>
      <c r="H37" s="43">
        <f>[1]Sheet1!$I$79*M37</f>
        <v>7.8125e+33</v>
      </c>
      <c r="I37" s="43">
        <f>[1]Sheet1!$K$79*1.33</f>
        <v>3.99e+16</v>
      </c>
      <c r="J37" s="7">
        <v>640000</v>
      </c>
      <c r="K37" s="7">
        <v>5</v>
      </c>
      <c r="L37" s="7"/>
      <c r="M37" s="7">
        <v>0.125</v>
      </c>
    </row>
    <row r="38" s="7" customFormat="1" spans="1:13">
      <c r="A38" s="7">
        <v>35</v>
      </c>
      <c r="B38" s="7" t="s">
        <v>37</v>
      </c>
      <c r="C38" s="7"/>
      <c r="D38" s="7"/>
      <c r="E38" s="7">
        <f>[1]Sheet1!$E$80</f>
        <v>6.5e+35</v>
      </c>
      <c r="F38" s="44">
        <v>96</v>
      </c>
      <c r="G38" s="7">
        <f>[1]Sheet1!$H$80/4</f>
        <v>2.5e+26</v>
      </c>
      <c r="H38" s="7">
        <f>[1]Sheet1!$I$80*M38</f>
        <v>4.0625e+34</v>
      </c>
      <c r="I38" s="43">
        <f>[1]Sheet1!$K$80*1.33</f>
        <v>7.98e+16</v>
      </c>
      <c r="J38" s="7">
        <v>680000</v>
      </c>
      <c r="K38" s="7">
        <v>5</v>
      </c>
      <c r="L38" s="7"/>
      <c r="M38" s="7">
        <v>0.125</v>
      </c>
    </row>
    <row r="39" s="7" customFormat="1" spans="1:13">
      <c r="A39" s="7">
        <v>36</v>
      </c>
      <c r="B39" s="7" t="s">
        <v>38</v>
      </c>
      <c r="C39" s="7">
        <v>3</v>
      </c>
      <c r="D39" s="45" t="s">
        <v>33</v>
      </c>
      <c r="E39" s="7">
        <f>[1]Sheet1!$E$81*4</f>
        <v>1.3e+37</v>
      </c>
      <c r="F39" s="44" t="s">
        <v>39</v>
      </c>
      <c r="G39" s="7">
        <f>[1]Sheet1!$H$81/4</f>
        <v>9.375e+26</v>
      </c>
      <c r="H39" s="7">
        <f>[1]Sheet1!$I$81*M39</f>
        <v>9.75e+36</v>
      </c>
      <c r="I39" s="43">
        <f>[1]Sheet1!$K$81*1.33</f>
        <v>1.33e+17</v>
      </c>
      <c r="J39" s="7">
        <v>720000</v>
      </c>
      <c r="K39" s="7">
        <v>5</v>
      </c>
      <c r="L39" s="7"/>
      <c r="M39" s="7">
        <v>5</v>
      </c>
    </row>
    <row r="40" s="1" customFormat="1" spans="1:13">
      <c r="A40" s="1">
        <v>37</v>
      </c>
      <c r="B40" s="1" t="s">
        <v>40</v>
      </c>
      <c r="C40" s="1"/>
      <c r="D40" s="15"/>
      <c r="E40" s="15">
        <f>[1]Sheet1!$E$82</f>
        <v>4.875e+37</v>
      </c>
      <c r="F40" s="46">
        <v>121</v>
      </c>
      <c r="G40" s="15">
        <f>[1]Sheet1!$H$82/4</f>
        <v>3.125e+27</v>
      </c>
      <c r="H40" s="15">
        <f>[1]Sheet1!$I$82*M40</f>
        <v>2.4375e+36</v>
      </c>
      <c r="I40" s="15">
        <f>[1]Sheet1!$K$85*1.33</f>
        <v>3.325e+18</v>
      </c>
      <c r="J40" s="1">
        <v>1000000</v>
      </c>
      <c r="K40" s="1">
        <v>5</v>
      </c>
      <c r="M40" s="1">
        <v>0.125</v>
      </c>
    </row>
    <row r="41" s="1" customFormat="1" spans="1:13">
      <c r="A41" s="1">
        <v>38</v>
      </c>
      <c r="B41" s="1" t="s">
        <v>41</v>
      </c>
      <c r="D41" s="15"/>
      <c r="E41" s="15">
        <f>[1]Sheet1!$E$83</f>
        <v>1.6e+38</v>
      </c>
      <c r="F41" s="46" t="s">
        <v>42</v>
      </c>
      <c r="G41" s="15">
        <f>[1]Sheet1!$H$83/4</f>
        <v>1.1875e+28</v>
      </c>
      <c r="H41" s="15">
        <f>[1]Sheet1!$I$83*M41</f>
        <v>8e+36</v>
      </c>
      <c r="I41" s="15">
        <f>[1]Sheet1!$K$86*1.33</f>
        <v>6.65e+18</v>
      </c>
      <c r="J41" s="1">
        <v>1500000</v>
      </c>
      <c r="K41" s="1">
        <v>5</v>
      </c>
      <c r="M41" s="1">
        <v>0.125</v>
      </c>
    </row>
    <row r="42" s="1" customFormat="1" spans="1:13">
      <c r="A42" s="1">
        <v>39</v>
      </c>
      <c r="B42" s="1" t="s">
        <v>43</v>
      </c>
      <c r="D42" s="15"/>
      <c r="E42" s="15">
        <f>[1]Sheet1!$E$87</f>
        <v>1.5e+39</v>
      </c>
      <c r="F42" s="46" t="s">
        <v>44</v>
      </c>
      <c r="G42" s="15">
        <f>[1]Sheet1!$H$87/4</f>
        <v>5.625e+28</v>
      </c>
      <c r="H42" s="15">
        <f>[1]Sheet1!$I$87*M42</f>
        <v>9.375e+37</v>
      </c>
      <c r="I42" s="15">
        <f>[1]Sheet1!$K$87*1.33</f>
        <v>1.33e+19</v>
      </c>
      <c r="J42" s="1">
        <v>2000000</v>
      </c>
      <c r="K42" s="1">
        <v>5</v>
      </c>
      <c r="M42" s="1">
        <v>0.125</v>
      </c>
    </row>
    <row r="43" s="1" customFormat="1" spans="1:13">
      <c r="A43" s="1">
        <v>40</v>
      </c>
      <c r="B43" s="1" t="s">
        <v>45</v>
      </c>
      <c r="C43" s="1">
        <v>3</v>
      </c>
      <c r="D43" s="1" t="s">
        <v>33</v>
      </c>
      <c r="E43" s="15">
        <f>[1]Sheet1!$E$88*4</f>
        <v>3e+40</v>
      </c>
      <c r="F43" s="46" t="s">
        <v>46</v>
      </c>
      <c r="G43" s="15">
        <f>[1]Sheet1!$H$88/4</f>
        <v>2.109375e+29</v>
      </c>
      <c r="H43" s="15">
        <f>[1]Sheet1!$I$88*M43</f>
        <v>2.25e+40</v>
      </c>
      <c r="I43" s="15">
        <f>[1]Sheet1!$K$88*1.33</f>
        <v>1.995e+19</v>
      </c>
      <c r="J43" s="1">
        <v>2500000</v>
      </c>
      <c r="K43" s="1">
        <v>5</v>
      </c>
      <c r="M43" s="1">
        <v>5</v>
      </c>
    </row>
    <row r="44" s="8" customFormat="1" spans="1:13">
      <c r="A44" s="8">
        <v>41</v>
      </c>
      <c r="B44" s="8" t="s">
        <v>40</v>
      </c>
      <c r="E44" s="47">
        <f>[1]Sheet1!$E$92</f>
        <v>1.5e+41</v>
      </c>
      <c r="F44" s="48">
        <v>121</v>
      </c>
      <c r="G44" s="47">
        <f>[1]Sheet1!$H$92/4</f>
        <v>6.25e+29</v>
      </c>
      <c r="H44" s="47">
        <f>[1]Sheet1!$I$92*M44</f>
        <v>9.375e+39</v>
      </c>
      <c r="I44" s="47">
        <v>5e+21</v>
      </c>
      <c r="J44" s="8">
        <v>3000000</v>
      </c>
      <c r="K44" s="8">
        <v>5</v>
      </c>
      <c r="M44" s="8">
        <v>0.125</v>
      </c>
    </row>
    <row r="45" s="8" customFormat="1" spans="1:13">
      <c r="A45" s="8">
        <v>42</v>
      </c>
      <c r="B45" s="8" t="s">
        <v>41</v>
      </c>
      <c r="E45" s="47">
        <f>[1]Sheet1!$E$93</f>
        <v>7.5e+41</v>
      </c>
      <c r="F45" s="48" t="s">
        <v>42</v>
      </c>
      <c r="G45" s="47">
        <f>[1]Sheet1!$H$93/4</f>
        <v>1.875e+30</v>
      </c>
      <c r="H45" s="47">
        <f>[1]Sheet1!$I$93*M45</f>
        <v>4.6875e+40</v>
      </c>
      <c r="I45" s="47">
        <v>1e+22</v>
      </c>
      <c r="J45" s="8">
        <v>3500000</v>
      </c>
      <c r="K45" s="8">
        <v>5</v>
      </c>
      <c r="M45" s="8">
        <v>0.125</v>
      </c>
    </row>
    <row r="46" s="8" customFormat="1" spans="1:13">
      <c r="A46" s="8">
        <v>43</v>
      </c>
      <c r="B46" s="8" t="s">
        <v>43</v>
      </c>
      <c r="E46" s="47">
        <f>[1]Sheet1!$E$94</f>
        <v>4e+42</v>
      </c>
      <c r="F46" s="48" t="s">
        <v>44</v>
      </c>
      <c r="G46" s="47">
        <f>[1]Sheet1!$H$94/4</f>
        <v>5.625e+30</v>
      </c>
      <c r="H46" s="47">
        <f>[1]Sheet1!$I$94*M46</f>
        <v>2.5e+41</v>
      </c>
      <c r="I46" s="47">
        <v>2e+22</v>
      </c>
      <c r="J46" s="8">
        <v>4000000</v>
      </c>
      <c r="K46" s="8">
        <v>5</v>
      </c>
      <c r="M46" s="8">
        <v>0.125</v>
      </c>
    </row>
    <row r="47" s="8" customFormat="1" spans="1:13">
      <c r="A47" s="8">
        <v>44</v>
      </c>
      <c r="B47" s="8" t="s">
        <v>45</v>
      </c>
      <c r="C47" s="8">
        <v>3</v>
      </c>
      <c r="D47" s="8" t="s">
        <v>33</v>
      </c>
      <c r="E47" s="47">
        <f>[1]Sheet1!$E$95*4</f>
        <v>8e+43</v>
      </c>
      <c r="F47" s="48" t="s">
        <v>46</v>
      </c>
      <c r="G47" s="47">
        <f>[1]Sheet1!$H$95/4</f>
        <v>1.75e+31</v>
      </c>
      <c r="H47" s="47">
        <f>[1]Sheet1!$I$95*M47</f>
        <v>6e+43</v>
      </c>
      <c r="I47" s="47">
        <v>4e+22</v>
      </c>
      <c r="J47" s="8">
        <v>4500000</v>
      </c>
      <c r="K47" s="8">
        <v>5</v>
      </c>
      <c r="M47" s="8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2026-07-01T05:18:08Z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3E07349883404E54BFF8F7E967C60885_12</vt:lpwstr>
  </property>
  <property fmtid="{D5CDD505-2E9C-101B-9397-08002B2CF9AE}" pid="4" name="CalculationRule">
    <vt:i4>0</vt:i4>
  </property>
</Properties>
</file>